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olievans/Downloads/"/>
    </mc:Choice>
  </mc:AlternateContent>
  <xr:revisionPtr revIDLastSave="0" documentId="13_ncr:1_{4C153E88-C11E-7942-A4BA-17B9E980EC79}" xr6:coauthVersionLast="47" xr6:coauthVersionMax="47" xr10:uidLastSave="{00000000-0000-0000-0000-000000000000}"/>
  <bookViews>
    <workbookView xWindow="4320" yWindow="620" windowWidth="24480" windowHeight="16220" tabRatio="644" xr2:uid="{00000000-000D-0000-FFFF-FFFF00000000}"/>
  </bookViews>
  <sheets>
    <sheet name="Class and Golf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2" l="1"/>
  <c r="S53" i="12" l="1"/>
  <c r="P53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52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72" i="12"/>
  <c r="D73" i="12"/>
  <c r="D7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52" i="12"/>
  <c r="M62" i="12"/>
  <c r="L62" i="12"/>
  <c r="M53" i="12"/>
  <c r="M54" i="12"/>
  <c r="M55" i="12"/>
  <c r="M56" i="12"/>
  <c r="M57" i="12"/>
  <c r="M58" i="12"/>
  <c r="M59" i="12"/>
  <c r="M60" i="12"/>
  <c r="M61" i="12"/>
  <c r="M63" i="12"/>
  <c r="M64" i="12"/>
  <c r="M65" i="12"/>
  <c r="M66" i="12"/>
  <c r="M67" i="12"/>
  <c r="M68" i="12"/>
  <c r="M69" i="12"/>
  <c r="L53" i="12"/>
  <c r="L54" i="12"/>
  <c r="L55" i="12"/>
  <c r="L56" i="12"/>
  <c r="L57" i="12"/>
  <c r="L58" i="12"/>
  <c r="L59" i="12"/>
  <c r="L60" i="12"/>
  <c r="L61" i="12"/>
  <c r="L63" i="12"/>
  <c r="L64" i="12"/>
  <c r="L65" i="12"/>
  <c r="L66" i="12"/>
  <c r="L67" i="12"/>
  <c r="L68" i="12"/>
  <c r="L69" i="12"/>
  <c r="M52" i="12"/>
  <c r="L52" i="12"/>
  <c r="I53" i="12"/>
  <c r="I57" i="12"/>
  <c r="I56" i="12"/>
  <c r="I52" i="12"/>
  <c r="L42" i="12"/>
  <c r="L43" i="12"/>
  <c r="L44" i="12"/>
  <c r="L45" i="12"/>
  <c r="L46" i="12"/>
  <c r="L41" i="12"/>
  <c r="K43" i="12"/>
  <c r="K44" i="12"/>
  <c r="K45" i="12"/>
  <c r="K46" i="12"/>
  <c r="K42" i="12"/>
  <c r="K41" i="12"/>
  <c r="J41" i="12"/>
  <c r="I41" i="12"/>
  <c r="N6" i="12"/>
  <c r="H41" i="12"/>
  <c r="G41" i="12"/>
  <c r="F42" i="12"/>
  <c r="F43" i="12"/>
  <c r="F44" i="12"/>
  <c r="F45" i="12"/>
  <c r="F46" i="12"/>
  <c r="F41" i="12"/>
  <c r="F37" i="12"/>
  <c r="H37" i="12"/>
  <c r="G37" i="12"/>
  <c r="E37" i="12"/>
  <c r="D37" i="12"/>
  <c r="N22" i="12" a="1"/>
  <c r="N22" i="12" s="1"/>
  <c r="N10" i="12"/>
  <c r="O10" i="12" s="1"/>
  <c r="N11" i="12"/>
  <c r="O11" i="12" s="1"/>
  <c r="N12" i="12"/>
  <c r="O12" i="12" s="1"/>
  <c r="N13" i="12"/>
  <c r="O13" i="12" s="1"/>
  <c r="N14" i="12"/>
  <c r="O14" i="12" s="1"/>
  <c r="N9" i="12"/>
  <c r="O9" i="12" s="1"/>
  <c r="C15" i="12"/>
  <c r="M20" i="12"/>
  <c r="L15" i="12"/>
  <c r="E15" i="12"/>
  <c r="F15" i="12"/>
  <c r="G15" i="12"/>
  <c r="H15" i="12"/>
  <c r="I15" i="12"/>
  <c r="J15" i="12"/>
  <c r="K15" i="12"/>
  <c r="D15" i="12"/>
  <c r="M10" i="12"/>
  <c r="M11" i="12"/>
  <c r="M12" i="12"/>
  <c r="M13" i="12"/>
  <c r="M14" i="12"/>
  <c r="M9" i="12"/>
  <c r="M6" i="12"/>
  <c r="Y51" i="12" l="1"/>
  <c r="L73" i="12"/>
  <c r="L72" i="12"/>
  <c r="Y52" i="12" a="1"/>
  <c r="Y52" i="12" s="1"/>
  <c r="M72" i="12"/>
  <c r="S52" i="12"/>
  <c r="M73" i="12"/>
  <c r="S51" i="12"/>
  <c r="M18" i="12"/>
  <c r="M22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<sst xmlns="http://schemas.openxmlformats.org/spreadsheetml/2006/main" count="149" uniqueCount="84">
  <si>
    <t>Grand Total</t>
  </si>
  <si>
    <t>Test 2</t>
  </si>
  <si>
    <t>Test 3</t>
  </si>
  <si>
    <t>Test 4</t>
  </si>
  <si>
    <t>Total</t>
  </si>
  <si>
    <t>Average</t>
  </si>
  <si>
    <t>Name</t>
  </si>
  <si>
    <t>Test 5</t>
  </si>
  <si>
    <t>Test 6</t>
  </si>
  <si>
    <t>Test 7</t>
  </si>
  <si>
    <t>25/08/202525/08/202525/08/202525/08/202525/08/202525/08/202525/08/2025</t>
  </si>
  <si>
    <t xml:space="preserve">Test 1 </t>
  </si>
  <si>
    <t>Test 8</t>
  </si>
  <si>
    <t>Test 9</t>
  </si>
  <si>
    <t>Test 10</t>
  </si>
  <si>
    <t>Joe</t>
  </si>
  <si>
    <t>Mike</t>
  </si>
  <si>
    <t>Phil</t>
  </si>
  <si>
    <t>Sam</t>
  </si>
  <si>
    <t>Bert</t>
  </si>
  <si>
    <t>Frank</t>
  </si>
  <si>
    <t>Max Score</t>
  </si>
  <si>
    <t>%Total</t>
  </si>
  <si>
    <t>Class Average</t>
  </si>
  <si>
    <t>Standard Dev</t>
  </si>
  <si>
    <t>Best Performing Student</t>
  </si>
  <si>
    <t>Highest Individual Score</t>
  </si>
  <si>
    <t>Max</t>
  </si>
  <si>
    <t>Min</t>
  </si>
  <si>
    <t>How Many</t>
  </si>
  <si>
    <t xml:space="preserve">Name </t>
  </si>
  <si>
    <t>Score</t>
  </si>
  <si>
    <t>Ramone</t>
  </si>
  <si>
    <t>Strauss</t>
  </si>
  <si>
    <t>Cathy</t>
  </si>
  <si>
    <t>Matt</t>
  </si>
  <si>
    <t>Nick</t>
  </si>
  <si>
    <t>Result</t>
  </si>
  <si>
    <t>No Of Scores Over 99</t>
  </si>
  <si>
    <t>&gt;=75</t>
  </si>
  <si>
    <t>&gt;=60</t>
  </si>
  <si>
    <t>Highest</t>
  </si>
  <si>
    <t>Lowest</t>
  </si>
  <si>
    <t>Position</t>
  </si>
  <si>
    <t>Rank</t>
  </si>
  <si>
    <t>Golf Exercise</t>
  </si>
  <si>
    <t>Hole</t>
  </si>
  <si>
    <t>Roy</t>
  </si>
  <si>
    <t>Gary</t>
  </si>
  <si>
    <t>Par</t>
  </si>
  <si>
    <t>Total Strokes</t>
  </si>
  <si>
    <t>Average Strokes</t>
  </si>
  <si>
    <t>Result vs Par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</si>
  <si>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</si>
  <si>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</si>
  <si>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</si>
  <si>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</si>
  <si>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</si>
  <si>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</si>
  <si>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</si>
  <si>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</si>
  <si>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</si>
  <si>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</si>
  <si>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</si>
  <si>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</si>
  <si>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</si>
  <si>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</si>
  <si>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</si>
  <si>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</si>
  <si>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</si>
  <si>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</si>
  <si>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Winner</t>
  </si>
  <si>
    <t>Result by Hole</t>
  </si>
  <si>
    <t>Roy Wins</t>
  </si>
  <si>
    <t>Gary Wins</t>
  </si>
  <si>
    <t>Ties</t>
  </si>
  <si>
    <t>Under or Par</t>
  </si>
  <si>
    <t>Over</t>
  </si>
  <si>
    <t>Difficulty pH</t>
  </si>
  <si>
    <t>hole 2</t>
  </si>
  <si>
    <t>Hardest</t>
  </si>
  <si>
    <t>Easiest</t>
  </si>
  <si>
    <t>Leaderboard</t>
  </si>
  <si>
    <t>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</si>
</sst>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0" xfId="0" applyNumberFormat="1"/>
    <xf numFmtId="0" fontId="2" fillId="2" borderId="1" xfId="0" applyFont="1" applyFill="1" applyBorder="1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2" xfId="0" applyBorder="1"/>
    <xf numFmtId="0" fontId="0" fillId="5" borderId="1" xfId="0" applyFill="1" applyBorder="1"/>
    <xf numFmtId="2" fontId="0" fillId="4" borderId="1" xfId="0" applyNumberFormat="1" applyFill="1" applyBorder="1"/>
    <xf numFmtId="165" fontId="0" fillId="0" borderId="0" xfId="0" applyNumberFormat="1"/>
    <xf numFmtId="0" fontId="2" fillId="6" borderId="0" xfId="0" applyFont="1" applyFill="1"/>
    <xf numFmtId="0" fontId="0" fillId="7" borderId="0" xfId="0" applyFill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colors>
    <mruColors>
      <color rgb="FF0000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'Class and Golf'!$B$9</c:f>
              <c:strCache>
                <c:ptCount val="1"/>
                <c:pt idx="0">
                  <c:v>Joe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Golf'!$C$9:$L$9</c:f>
              <c:numCache>
                <c:formatCode>General</c:formatCode>
                <c:ptCount val="10"/>
                <c:pt idx="0">
                  <c:v>78</c:v>
                </c:pt>
                <c:pt idx="1">
                  <c:v>89</c:v>
                </c:pt>
                <c:pt idx="2">
                  <c:v>99</c:v>
                </c:pt>
                <c:pt idx="3">
                  <c:v>87</c:v>
                </c:pt>
                <c:pt idx="4">
                  <c:v>75</c:v>
                </c:pt>
                <c:pt idx="5">
                  <c:v>77</c:v>
                </c:pt>
                <c:pt idx="6">
                  <c:v>80</c:v>
                </c:pt>
                <c:pt idx="7">
                  <c:v>91</c:v>
                </c:pt>
                <c:pt idx="8">
                  <c:v>88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5-4E45-B96A-0B7121F15CCA}"/>
            </c:ext>
          </c:extLst>
        </c:ser>
        <c:ser>
          <c:idx val="1"/>
          <c:order val="1"/>
          <c:tx>
            <c:strRef>
              <c:f>'Class and Golf'!$B$10</c:f>
              <c:strCache>
                <c:ptCount val="1"/>
                <c:pt idx="0">
                  <c:v>Mike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Golf'!$C$10:$L$10</c:f>
              <c:numCache>
                <c:formatCode>General</c:formatCode>
                <c:ptCount val="10"/>
                <c:pt idx="0">
                  <c:v>66</c:v>
                </c:pt>
                <c:pt idx="1">
                  <c:v>89</c:v>
                </c:pt>
                <c:pt idx="2">
                  <c:v>97</c:v>
                </c:pt>
                <c:pt idx="3">
                  <c:v>29</c:v>
                </c:pt>
                <c:pt idx="4">
                  <c:v>83</c:v>
                </c:pt>
                <c:pt idx="5">
                  <c:v>100</c:v>
                </c:pt>
                <c:pt idx="6">
                  <c:v>99</c:v>
                </c:pt>
                <c:pt idx="7">
                  <c:v>70</c:v>
                </c:pt>
                <c:pt idx="8">
                  <c:v>76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5-4E45-B96A-0B7121F15CCA}"/>
            </c:ext>
          </c:extLst>
        </c:ser>
        <c:ser>
          <c:idx val="2"/>
          <c:order val="2"/>
          <c:tx>
            <c:strRef>
              <c:f>'Class and Golf'!$B$11</c:f>
              <c:strCache>
                <c:ptCount val="1"/>
                <c:pt idx="0">
                  <c:v>Phil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Golf'!$C$11:$L$11</c:f>
              <c:numCache>
                <c:formatCode>General</c:formatCode>
                <c:ptCount val="10"/>
                <c:pt idx="0">
                  <c:v>80</c:v>
                </c:pt>
                <c:pt idx="1">
                  <c:v>83</c:v>
                </c:pt>
                <c:pt idx="2">
                  <c:v>83</c:v>
                </c:pt>
                <c:pt idx="3">
                  <c:v>89</c:v>
                </c:pt>
                <c:pt idx="4">
                  <c:v>83</c:v>
                </c:pt>
                <c:pt idx="5">
                  <c:v>88</c:v>
                </c:pt>
                <c:pt idx="6">
                  <c:v>81</c:v>
                </c:pt>
                <c:pt idx="7">
                  <c:v>83</c:v>
                </c:pt>
                <c:pt idx="8">
                  <c:v>100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5-4E45-B96A-0B7121F15CCA}"/>
            </c:ext>
          </c:extLst>
        </c:ser>
        <c:ser>
          <c:idx val="3"/>
          <c:order val="3"/>
          <c:tx>
            <c:strRef>
              <c:f>'Class and Golf'!$B$12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Golf'!$C$12:$L$12</c:f>
              <c:numCache>
                <c:formatCode>General</c:formatCode>
                <c:ptCount val="10"/>
                <c:pt idx="0">
                  <c:v>76</c:v>
                </c:pt>
                <c:pt idx="1">
                  <c:v>78</c:v>
                </c:pt>
                <c:pt idx="2">
                  <c:v>76</c:v>
                </c:pt>
                <c:pt idx="3">
                  <c:v>89</c:v>
                </c:pt>
                <c:pt idx="4">
                  <c:v>87</c:v>
                </c:pt>
                <c:pt idx="5">
                  <c:v>67</c:v>
                </c:pt>
                <c:pt idx="6">
                  <c:v>85</c:v>
                </c:pt>
                <c:pt idx="7">
                  <c:v>59</c:v>
                </c:pt>
                <c:pt idx="8">
                  <c:v>99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5-4E45-B96A-0B7121F15CCA}"/>
            </c:ext>
          </c:extLst>
        </c:ser>
        <c:ser>
          <c:idx val="4"/>
          <c:order val="4"/>
          <c:tx>
            <c:strRef>
              <c:f>'Class and Golf'!$B$13</c:f>
              <c:strCache>
                <c:ptCount val="1"/>
                <c:pt idx="0">
                  <c:v>Bert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Golf'!$C$13:$L$13</c:f>
              <c:numCache>
                <c:formatCode>General</c:formatCode>
                <c:ptCount val="10"/>
                <c:pt idx="0">
                  <c:v>69</c:v>
                </c:pt>
                <c:pt idx="1">
                  <c:v>75</c:v>
                </c:pt>
                <c:pt idx="2">
                  <c:v>76</c:v>
                </c:pt>
                <c:pt idx="3">
                  <c:v>75</c:v>
                </c:pt>
                <c:pt idx="4">
                  <c:v>78</c:v>
                </c:pt>
                <c:pt idx="5">
                  <c:v>78</c:v>
                </c:pt>
                <c:pt idx="6">
                  <c:v>79</c:v>
                </c:pt>
                <c:pt idx="7">
                  <c:v>77</c:v>
                </c:pt>
                <c:pt idx="8">
                  <c:v>78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E5-4E45-B96A-0B7121F15CCA}"/>
            </c:ext>
          </c:extLst>
        </c:ser>
        <c:ser>
          <c:idx val="5"/>
          <c:order val="5"/>
          <c:tx>
            <c:strRef>
              <c:f>'Class and Golf'!$B$14</c:f>
              <c:strCache>
                <c:ptCount val="1"/>
                <c:pt idx="0">
                  <c:v>Frank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Golf'!$C$14:$L$14</c:f>
              <c:numCache>
                <c:formatCode>General</c:formatCode>
                <c:ptCount val="10"/>
                <c:pt idx="0">
                  <c:v>90</c:v>
                </c:pt>
                <c:pt idx="1">
                  <c:v>91</c:v>
                </c:pt>
                <c:pt idx="2">
                  <c:v>88</c:v>
                </c:pt>
                <c:pt idx="3">
                  <c:v>89</c:v>
                </c:pt>
                <c:pt idx="4">
                  <c:v>87</c:v>
                </c:pt>
                <c:pt idx="5">
                  <c:v>85</c:v>
                </c:pt>
                <c:pt idx="6">
                  <c:v>87</c:v>
                </c:pt>
                <c:pt idx="7">
                  <c:v>90</c:v>
                </c:pt>
                <c:pt idx="8">
                  <c:v>91</c:v>
                </c:pt>
                <c:pt idx="9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E5-4E45-B96A-0B7121F1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8249312"/>
        <c:axId val="2117740672"/>
      </c:barChart>
      <c:lineChart>
        <c:grouping val="standard"/>
        <c:varyColors val="0"/>
        <c:ser>
          <c:idx val="6"/>
          <c:order val="6"/>
          <c:tx>
            <c:strRef>
              <c:f>'Class and Golf'!$B$15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'Class and Golf'!$C$8:$L$8</c:f>
              <c:strCache>
                <c:ptCount val="10"/>
                <c:pt idx="0">
                  <c:v>Test 1 </c:v>
                </c:pt>
                <c:pt idx="1">
                  <c:v>Test 2</c:v>
                </c:pt>
                <c:pt idx="2">
                  <c:v>Test 3</c:v>
                </c:pt>
                <c:pt idx="3">
                  <c:v>Test 4</c:v>
                </c:pt>
                <c:pt idx="4">
                  <c:v>Test 5</c:v>
                </c:pt>
                <c:pt idx="5">
                  <c:v>Test 6</c:v>
                </c:pt>
                <c:pt idx="6">
                  <c:v>Test 7</c:v>
                </c:pt>
                <c:pt idx="7">
                  <c:v>Test 8</c:v>
                </c:pt>
                <c:pt idx="8">
                  <c:v>Test 9</c:v>
                </c:pt>
                <c:pt idx="9">
                  <c:v>Test 10</c:v>
                </c:pt>
              </c:strCache>
            </c:strRef>
          </c:cat>
          <c:val>
            <c:numRef>
              <c:f>'Class and Golf'!$C$15:$L$15</c:f>
              <c:numCache>
                <c:formatCode>0.00</c:formatCode>
                <c:ptCount val="10"/>
                <c:pt idx="0">
                  <c:v>76.5</c:v>
                </c:pt>
                <c:pt idx="1">
                  <c:v>84.17</c:v>
                </c:pt>
                <c:pt idx="2">
                  <c:v>86.5</c:v>
                </c:pt>
                <c:pt idx="3">
                  <c:v>76.33</c:v>
                </c:pt>
                <c:pt idx="4">
                  <c:v>82.17</c:v>
                </c:pt>
                <c:pt idx="5">
                  <c:v>82.5</c:v>
                </c:pt>
                <c:pt idx="6">
                  <c:v>85.17</c:v>
                </c:pt>
                <c:pt idx="7">
                  <c:v>78.33</c:v>
                </c:pt>
                <c:pt idx="8">
                  <c:v>88.67</c:v>
                </c:pt>
                <c:pt idx="9">
                  <c:v>81.67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E5-4E45-B96A-0B7121F15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249312"/>
        <c:axId val="2117740672"/>
      </c:lineChart>
      <c:catAx>
        <c:axId val="212824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40672"/>
        <c:crosses val="autoZero"/>
        <c:auto val="1"/>
        <c:lblAlgn val="ctr"/>
        <c:lblOffset val="100"/>
        <c:noMultiLvlLbl val="0"/>
      </c:catAx>
      <c:valAx>
        <c:axId val="21177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4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</a:t>
            </a:r>
            <a:r>
              <a:rPr lang="en-GB" baseline="0"/>
              <a:t> of Hole Outcomes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91-FC40-9BC0-9DC54EBF707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91-FC40-9BC0-9DC54EBF707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91-FC40-9BC0-9DC54EBF70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'Class and Golf'!$R$51:$R$53</c:f>
              <c:strCache>
                <c:ptCount val="3"/>
                <c:pt idx="0">
                  <c:v>Roy Wins</c:v>
                </c:pt>
                <c:pt idx="1">
                  <c:v>Gary Wins</c:v>
                </c:pt>
                <c:pt idx="2">
                  <c:v>Ties</c:v>
                </c:pt>
              </c:strCache>
            </c:strRef>
          </c:cat>
          <c:val>
            <c:numRef>
              <c:f>'Class and Golf'!$S$51:$S$53</c:f>
              <c:numCache>
                <c:formatCode>General</c:formatCode>
                <c:ptCount val="3"/>
                <c:pt idx="0">
                  <c:v>6</c:v>
                </c:pt>
                <c:pt idx="1">
                  <c:v>5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9-B54C-B795-F5F0530B2BE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601134</xdr:colOff>
      <xdr:row>16</xdr:row>
      <xdr:rowOff>29634</xdr:rowOff>
    </xdr:from>
    <xdr:to>
      <xdr:col>8</xdr:col>
      <xdr:colOff>304800</xdr:colOff>
      <xdr:row>30</xdr:row>
      <xdr:rowOff>46567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982DF7-12E1-A219-4BA6-4469113B6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6350</xdr:colOff>
      <xdr:row>53</xdr:row>
      <xdr:rowOff>7125</xdr:rowOff>
    </xdr:from>
    <xdr:to>
      <xdr:col>19</xdr:col>
      <xdr:colOff>508000</xdr:colOff>
      <xdr:row>64</xdr:row>
      <xdr:rowOff>167579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A3EC4C-4DDC-FAE9-41F5-7CE00E77C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D1CC9-116C-6540-86A8-DCA31822AE6E}" name="Table1" displayName="Table1" ref="C71:F89" totalsRowShown="0" headerRowDxfId="8">
  <autoFilter ref="C71:F89" xr:uid="{86BD1CC9-116C-6540-86A8-DCA31822AE6E}"/>
  <tableColumns count="4">
    <tableColumn id="1" xr3:uid="{CB378359-FD46-3E43-A505-FC2109AE43F9}" name="Leaderboard" dataDxfId="7"/>
    <tableColumn id="2" xr3:uid="{6EBF2FE9-F43A-594C-B400-0EC9A8A06F73}" name="Roy">
      <calculatedColumnFormula xml:space="preserve"> SUM($D$52:D52)</calculatedColumnFormula>
    </tableColumn>
    <tableColumn id="3" xr3:uid="{D722276A-AD1D-FC4B-8CB6-16F84F43CE03}" name="Gary">
      <calculatedColumnFormula xml:space="preserve"> SUM($E$52:E52)</calculatedColumnFormula>
    </tableColumn>
    <tableColumn id="4" xr3:uid="{0D032671-BED1-1F40-A832-4A79EFF8ED7B}" name="Leader" dataDxfId="6">
      <calculatedColumnFormula>IF(SUM($D$52:D52)&lt;SUM($E$52:E52), "Roy", IF(SUM($D$52:D52)=SUM($E$52:E52), "Tie", "Gary"))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9F12-0F27-4D51-B111-91118C0315E7}">
  <sheetPr>
    <tabColor rgb="FF0000FF"/>
  </sheetPr>
  <dimension ref="A1:Y89"/>
  <sheetViews>
    <sheetView tabSelected="1" topLeftCell="C40" zoomScale="176" workbookViewId="0">
      <selection activeCell="I47" sqref="I47"/>
    </sheetView>
  </sheetViews>
  <sheetFormatPr baseColWidth="10" defaultColWidth="8.83203125" defaultRowHeight="15" x14ac:dyDescent="0.2"/>
  <cols>
    <col min="3" max="3" width="13.33203125" customWidth="1"/>
    <col min="6" max="6" width="9" customWidth="1"/>
    <col min="9" max="9" width="13.5" customWidth="1"/>
    <col min="11" max="11" width="11.83203125" customWidth="1"/>
    <col min="13" max="13" width="21.83203125" customWidth="1"/>
    <col min="14" max="14" width="19.1640625" customWidth="1"/>
    <col min="15" max="15" width="12.33203125" customWidth="1"/>
    <col min="21" max="21" width="9.6640625" customWidth="1"/>
  </cols>
  <sheetData>
    <row r="1" spans="1:15" x14ac:dyDescent="0.2">
      <c r="A1" t="s">
        <v>10</v>
      </c>
    </row>
    <row r="5" spans="1:15" x14ac:dyDescent="0.2">
      <c r="C5" s="2">
        <v>45894</v>
      </c>
      <c r="M5" s="5" t="s">
        <v>4</v>
      </c>
      <c r="N5" s="5" t="s">
        <v>38</v>
      </c>
    </row>
    <row r="6" spans="1:15" x14ac:dyDescent="0.2">
      <c r="B6" t="s">
        <v>21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f>SUM(C6:L6)</f>
        <v>1000</v>
      </c>
      <c r="N6">
        <f xml:space="preserve"> COUNTIF(C9:L14, "&gt;=99")</f>
        <v>6</v>
      </c>
    </row>
    <row r="8" spans="1:15" x14ac:dyDescent="0.2">
      <c r="B8" s="3" t="s">
        <v>6</v>
      </c>
      <c r="C8" s="3" t="s">
        <v>11</v>
      </c>
      <c r="D8" s="3" t="s">
        <v>1</v>
      </c>
      <c r="E8" s="3" t="s">
        <v>2</v>
      </c>
      <c r="F8" s="3" t="s">
        <v>3</v>
      </c>
      <c r="G8" s="3" t="s">
        <v>7</v>
      </c>
      <c r="H8" s="3" t="s">
        <v>8</v>
      </c>
      <c r="I8" s="3" t="s">
        <v>9</v>
      </c>
      <c r="J8" s="3" t="s">
        <v>12</v>
      </c>
      <c r="K8" s="3" t="s">
        <v>13</v>
      </c>
      <c r="L8" s="3" t="s">
        <v>14</v>
      </c>
      <c r="M8" s="3" t="s">
        <v>0</v>
      </c>
      <c r="N8" s="3" t="s">
        <v>22</v>
      </c>
      <c r="O8" s="3" t="s">
        <v>44</v>
      </c>
    </row>
    <row r="9" spans="1:15" x14ac:dyDescent="0.2">
      <c r="B9" s="1" t="s">
        <v>15</v>
      </c>
      <c r="C9" s="1">
        <v>78</v>
      </c>
      <c r="D9" s="1">
        <v>89</v>
      </c>
      <c r="E9" s="1">
        <v>99</v>
      </c>
      <c r="F9" s="1">
        <v>87</v>
      </c>
      <c r="G9" s="1">
        <v>75</v>
      </c>
      <c r="H9" s="1">
        <v>77</v>
      </c>
      <c r="I9" s="1">
        <v>80</v>
      </c>
      <c r="J9" s="1">
        <v>91</v>
      </c>
      <c r="K9" s="1">
        <v>88</v>
      </c>
      <c r="L9" s="1">
        <v>63</v>
      </c>
      <c r="M9" s="7">
        <f>SUM(C9:L9)</f>
        <v>827</v>
      </c>
      <c r="N9" s="7">
        <f>SUM(C9:L9)/10</f>
        <v>82.7</v>
      </c>
      <c r="O9" s="7" t="str">
        <f>IF(N9&gt;82, "Top", IF(N9&gt;78, "Middle", "Low"))</f>
        <v>Top</v>
      </c>
    </row>
    <row r="10" spans="1:15" x14ac:dyDescent="0.2">
      <c r="B10" s="1" t="s">
        <v>16</v>
      </c>
      <c r="C10" s="1">
        <v>66</v>
      </c>
      <c r="D10" s="1">
        <v>89</v>
      </c>
      <c r="E10" s="1">
        <v>97</v>
      </c>
      <c r="F10" s="1">
        <v>29</v>
      </c>
      <c r="G10" s="1">
        <v>83</v>
      </c>
      <c r="H10" s="1">
        <v>100</v>
      </c>
      <c r="I10" s="1">
        <v>99</v>
      </c>
      <c r="J10" s="1">
        <v>70</v>
      </c>
      <c r="K10" s="1">
        <v>76</v>
      </c>
      <c r="L10" s="1">
        <v>79</v>
      </c>
      <c r="M10" s="7">
        <f t="shared" ref="M10:M14" si="0">SUM(C10:L10)</f>
        <v>788</v>
      </c>
      <c r="N10" s="7">
        <f t="shared" ref="N10:N14" si="1">SUM(C10:L10)/10</f>
        <v>78.8</v>
      </c>
      <c r="O10" s="7" t="str">
        <f t="shared" ref="O10:O14" si="2">IF(N10&gt;82, "Top", IF(N10&gt;78, "Middle", "Low"))</f>
        <v>Middle</v>
      </c>
    </row>
    <row r="11" spans="1:15" x14ac:dyDescent="0.2">
      <c r="B11" s="1" t="s">
        <v>17</v>
      </c>
      <c r="C11" s="1">
        <v>80</v>
      </c>
      <c r="D11" s="1">
        <v>83</v>
      </c>
      <c r="E11" s="1">
        <v>83</v>
      </c>
      <c r="F11" s="1">
        <v>89</v>
      </c>
      <c r="G11" s="8">
        <v>83</v>
      </c>
      <c r="H11" s="1">
        <v>88</v>
      </c>
      <c r="I11" s="1">
        <v>81</v>
      </c>
      <c r="J11" s="1">
        <v>83</v>
      </c>
      <c r="K11" s="1">
        <v>100</v>
      </c>
      <c r="L11" s="1">
        <v>78</v>
      </c>
      <c r="M11" s="7">
        <f t="shared" si="0"/>
        <v>848</v>
      </c>
      <c r="N11" s="7">
        <f t="shared" si="1"/>
        <v>84.8</v>
      </c>
      <c r="O11" s="7" t="str">
        <f t="shared" si="2"/>
        <v>Top</v>
      </c>
    </row>
    <row r="12" spans="1:15" x14ac:dyDescent="0.2">
      <c r="B12" s="1" t="s">
        <v>18</v>
      </c>
      <c r="C12" s="1">
        <v>76</v>
      </c>
      <c r="D12" s="1">
        <v>78</v>
      </c>
      <c r="E12" s="1">
        <v>76</v>
      </c>
      <c r="F12" s="1">
        <v>89</v>
      </c>
      <c r="G12" s="1">
        <v>87</v>
      </c>
      <c r="H12" s="1">
        <v>67</v>
      </c>
      <c r="I12" s="1">
        <v>85</v>
      </c>
      <c r="J12" s="1">
        <v>59</v>
      </c>
      <c r="K12" s="1">
        <v>99</v>
      </c>
      <c r="L12" s="1">
        <v>100</v>
      </c>
      <c r="M12" s="7">
        <f t="shared" si="0"/>
        <v>816</v>
      </c>
      <c r="N12" s="7">
        <f t="shared" si="1"/>
        <v>81.599999999999994</v>
      </c>
      <c r="O12" s="7" t="str">
        <f t="shared" si="2"/>
        <v>Middle</v>
      </c>
    </row>
    <row r="13" spans="1:15" x14ac:dyDescent="0.2">
      <c r="B13" s="1" t="s">
        <v>19</v>
      </c>
      <c r="C13" s="1">
        <v>69</v>
      </c>
      <c r="D13" s="1">
        <v>75</v>
      </c>
      <c r="E13" s="1">
        <v>76</v>
      </c>
      <c r="F13" s="1">
        <v>75</v>
      </c>
      <c r="G13" s="1">
        <v>78</v>
      </c>
      <c r="H13" s="1">
        <v>78</v>
      </c>
      <c r="I13" s="1">
        <v>79</v>
      </c>
      <c r="J13" s="1">
        <v>77</v>
      </c>
      <c r="K13" s="1">
        <v>78</v>
      </c>
      <c r="L13" s="1">
        <v>78</v>
      </c>
      <c r="M13" s="7">
        <f t="shared" si="0"/>
        <v>763</v>
      </c>
      <c r="N13" s="7">
        <f t="shared" si="1"/>
        <v>76.3</v>
      </c>
      <c r="O13" s="7" t="str">
        <f t="shared" si="2"/>
        <v>Low</v>
      </c>
    </row>
    <row r="14" spans="1:15" x14ac:dyDescent="0.2">
      <c r="B14" s="1" t="s">
        <v>20</v>
      </c>
      <c r="C14" s="9">
        <v>90</v>
      </c>
      <c r="D14" s="9">
        <v>91</v>
      </c>
      <c r="E14" s="9">
        <v>88</v>
      </c>
      <c r="F14" s="9">
        <v>89</v>
      </c>
      <c r="G14" s="9">
        <v>87</v>
      </c>
      <c r="H14" s="9">
        <v>85</v>
      </c>
      <c r="I14" s="9">
        <v>87</v>
      </c>
      <c r="J14" s="9">
        <v>90</v>
      </c>
      <c r="K14" s="9">
        <v>91</v>
      </c>
      <c r="L14" s="9">
        <v>92</v>
      </c>
      <c r="M14" s="7">
        <f t="shared" si="0"/>
        <v>890</v>
      </c>
      <c r="N14" s="7">
        <f t="shared" si="1"/>
        <v>89</v>
      </c>
      <c r="O14" s="7" t="str">
        <f t="shared" si="2"/>
        <v>Top</v>
      </c>
    </row>
    <row r="15" spans="1:15" x14ac:dyDescent="0.2">
      <c r="B15" s="3" t="s">
        <v>5</v>
      </c>
      <c r="C15" s="10">
        <f>ROUND(AVERAGE(C9:C14), 2)</f>
        <v>76.5</v>
      </c>
      <c r="D15" s="10">
        <f>ROUND(AVERAGE(D9:D14), 2)</f>
        <v>84.17</v>
      </c>
      <c r="E15" s="10">
        <f t="shared" ref="E15:K15" si="3">ROUND(AVERAGE(E9:E14), 2)</f>
        <v>86.5</v>
      </c>
      <c r="F15" s="10">
        <f t="shared" si="3"/>
        <v>76.33</v>
      </c>
      <c r="G15" s="10">
        <f t="shared" si="3"/>
        <v>82.17</v>
      </c>
      <c r="H15" s="10">
        <f t="shared" si="3"/>
        <v>82.5</v>
      </c>
      <c r="I15" s="10">
        <f t="shared" si="3"/>
        <v>85.17</v>
      </c>
      <c r="J15" s="10">
        <f t="shared" si="3"/>
        <v>78.33</v>
      </c>
      <c r="K15" s="10">
        <f t="shared" si="3"/>
        <v>88.67</v>
      </c>
      <c r="L15" s="10">
        <f>ROUND(AVERAGE(L9:L14), 2)</f>
        <v>81.67</v>
      </c>
      <c r="M15" s="9"/>
      <c r="N15" s="7"/>
      <c r="O15" s="7"/>
    </row>
    <row r="16" spans="1:15" x14ac:dyDescent="0.2">
      <c r="C16" s="11"/>
    </row>
    <row r="17" spans="13:14" x14ac:dyDescent="0.2">
      <c r="M17" s="5" t="s">
        <v>23</v>
      </c>
    </row>
    <row r="18" spans="13:14" x14ac:dyDescent="0.2">
      <c r="M18" s="10">
        <f>ROUND(AVERAGE(C15:L15), 2)</f>
        <v>82.2</v>
      </c>
    </row>
    <row r="19" spans="13:14" x14ac:dyDescent="0.2">
      <c r="M19" s="5" t="s">
        <v>24</v>
      </c>
    </row>
    <row r="20" spans="13:14" x14ac:dyDescent="0.2">
      <c r="M20" s="10">
        <f>STDEV(C14:L14)</f>
        <v>2.2110831935702668</v>
      </c>
    </row>
    <row r="21" spans="13:14" x14ac:dyDescent="0.2">
      <c r="M21" s="5" t="s">
        <v>25</v>
      </c>
      <c r="N21" s="5" t="s">
        <v>26</v>
      </c>
    </row>
    <row r="22" spans="13:14" x14ac:dyDescent="0.2">
      <c r="M22" s="10" t="str">
        <f>INDEX(B9:B14, MATCH(MAX(N9:N14), N9:N14, 0)) &amp; " - " &amp; TEXT(MAX(N9:N14), "0.00")</f>
        <v>Frank - 89.00</v>
      </c>
      <c r="N22" s="10" t="str" cm="1">
        <f t="array" ref="N22">_xlfn.TEXTJOIN(", ", TRUE, _xlfn._xlws.FILTER(B9:B14, _xlfn.BYROW(C9:L14, _xlfn.LAMBDA(_xlpm.r, MAX(_xlpm.r)))=MAX(C9:L14))) &amp; " - " &amp; MAX(C9:L14)</f>
        <v>Mike, Phil, Sam - 100</v>
      </c>
    </row>
    <row r="34" spans="4:12" x14ac:dyDescent="0.2">
      <c r="D34">
        <v>5</v>
      </c>
      <c r="E34">
        <v>8</v>
      </c>
      <c r="F34">
        <v>9</v>
      </c>
      <c r="G34">
        <v>6</v>
      </c>
      <c r="H34">
        <v>8</v>
      </c>
      <c r="I34">
        <v>5</v>
      </c>
      <c r="J34">
        <v>4</v>
      </c>
      <c r="K34">
        <v>2</v>
      </c>
      <c r="L34">
        <v>13</v>
      </c>
    </row>
    <row r="36" spans="4:12" x14ac:dyDescent="0.2">
      <c r="D36" t="s">
        <v>27</v>
      </c>
      <c r="E36" t="s">
        <v>28</v>
      </c>
      <c r="F36" t="s">
        <v>5</v>
      </c>
      <c r="G36" t="s">
        <v>4</v>
      </c>
      <c r="H36" t="s">
        <v>29</v>
      </c>
    </row>
    <row r="37" spans="4:12" x14ac:dyDescent="0.2">
      <c r="D37">
        <f>MAX(D34:L34)</f>
        <v>13</v>
      </c>
      <c r="E37">
        <f>MIN(D34:L34)</f>
        <v>2</v>
      </c>
      <c r="F37">
        <f>ROUND(AVERAGE(D34:L34), 2)</f>
        <v>6.67</v>
      </c>
      <c r="G37">
        <f xml:space="preserve"> SUM(D34:L34)</f>
        <v>60</v>
      </c>
      <c r="H37">
        <f>COUNT(D34:L34)</f>
        <v>9</v>
      </c>
    </row>
    <row r="40" spans="4:12" x14ac:dyDescent="0.2">
      <c r="D40" s="4" t="s">
        <v>30</v>
      </c>
      <c r="E40" s="4" t="s">
        <v>31</v>
      </c>
      <c r="F40" s="4" t="s">
        <v>37</v>
      </c>
      <c r="G40" s="4" t="s">
        <v>39</v>
      </c>
      <c r="H40" s="4" t="s">
        <v>40</v>
      </c>
      <c r="I40" s="4" t="s">
        <v>41</v>
      </c>
      <c r="J40" s="4" t="s">
        <v>42</v>
      </c>
      <c r="K40" s="4" t="s">
        <v>43</v>
      </c>
      <c r="L40" s="4" t="s">
        <v>44</v>
      </c>
    </row>
    <row r="41" spans="4:12" x14ac:dyDescent="0.2">
      <c r="D41" t="s">
        <v>15</v>
      </c>
      <c r="E41">
        <v>70</v>
      </c>
      <c r="F41" s="6" t="str">
        <f xml:space="preserve"> IF(E41&gt;=50, "Pass", "Fail")</f>
        <v>Pass</v>
      </c>
      <c r="G41">
        <f>COUNTIF(E41:E46, "&gt;=75")</f>
        <v>2</v>
      </c>
      <c r="H41">
        <f>COUNTIF(E41:E46, "&gt;=60")</f>
        <v>3</v>
      </c>
      <c r="I41" t="str">
        <f xml:space="preserve"> INDEX(D41:D46, MATCH(MAX(E41:E46), E41:E46, 0))</f>
        <v>Ramone</v>
      </c>
      <c r="J41" t="str">
        <f>INDEX(D41:D46, MATCH(MIN(E41:E46), E41:E46, 0))</f>
        <v>Matt</v>
      </c>
      <c r="K41">
        <f>RANK(E41, $E$41:$E$46)</f>
        <v>3</v>
      </c>
      <c r="L41" t="str">
        <f>IF(E41&gt;80, "Top", IF(E41&gt;60, "Middle", "Low"))</f>
        <v>Middle</v>
      </c>
    </row>
    <row r="42" spans="4:12" x14ac:dyDescent="0.2">
      <c r="D42" t="s">
        <v>32</v>
      </c>
      <c r="E42">
        <v>82</v>
      </c>
      <c r="F42" s="6" t="str">
        <f t="shared" ref="F42:F46" si="4" xml:space="preserve"> IF(E42&gt;=50, "Pass", "Fail")</f>
        <v>Pass</v>
      </c>
      <c r="K42">
        <f>RANK(E42, $E$41:$E$46)</f>
        <v>1</v>
      </c>
      <c r="L42" t="str">
        <f t="shared" ref="L42:L46" si="5">IF(E42&gt;80, "Top", IF(E42&gt;60, "Middle", "Low"))</f>
        <v>Top</v>
      </c>
    </row>
    <row r="43" spans="4:12" x14ac:dyDescent="0.2">
      <c r="D43" t="s">
        <v>33</v>
      </c>
      <c r="E43">
        <v>49</v>
      </c>
      <c r="F43" s="6" t="str">
        <f t="shared" si="4"/>
        <v>Fail</v>
      </c>
      <c r="K43">
        <f t="shared" ref="K43:K46" si="6">RANK(E43, $E$41:$E$46)</f>
        <v>4</v>
      </c>
      <c r="L43" t="str">
        <f t="shared" si="5"/>
        <v>Low</v>
      </c>
    </row>
    <row r="44" spans="4:12" x14ac:dyDescent="0.2">
      <c r="D44" t="s">
        <v>34</v>
      </c>
      <c r="E44">
        <v>81</v>
      </c>
      <c r="F44" s="6" t="str">
        <f t="shared" si="4"/>
        <v>Pass</v>
      </c>
      <c r="K44">
        <f t="shared" si="6"/>
        <v>2</v>
      </c>
      <c r="L44" t="str">
        <f t="shared" si="5"/>
        <v>Top</v>
      </c>
    </row>
    <row r="45" spans="4:12" x14ac:dyDescent="0.2">
      <c r="D45" t="s">
        <v>35</v>
      </c>
      <c r="E45">
        <v>37</v>
      </c>
      <c r="F45" s="6" t="str">
        <f t="shared" si="4"/>
        <v>Fail</v>
      </c>
      <c r="K45">
        <f t="shared" si="6"/>
        <v>6</v>
      </c>
      <c r="L45" t="str">
        <f t="shared" si="5"/>
        <v>Low</v>
      </c>
    </row>
    <row r="46" spans="4:12" x14ac:dyDescent="0.2">
      <c r="D46" t="s">
        <v>36</v>
      </c>
      <c r="E46">
        <v>48</v>
      </c>
      <c r="F46" s="6" t="str">
        <f t="shared" si="4"/>
        <v>Fail</v>
      </c>
      <c r="K46">
        <f t="shared" si="6"/>
        <v>5</v>
      </c>
      <c r="L46" t="str">
        <f t="shared" si="5"/>
        <v>Low</v>
      </c>
    </row>
    <row r="49" spans="3:25" x14ac:dyDescent="0.2">
      <c r="C49" s="12" t="s">
        <v>45</v>
      </c>
    </row>
    <row r="51" spans="3:25" x14ac:dyDescent="0.2">
      <c r="C51" s="12" t="s">
        <v>46</v>
      </c>
      <c r="D51" s="12" t="s">
        <v>47</v>
      </c>
      <c r="E51" s="12" t="s">
        <v>48</v>
      </c>
      <c r="F51" s="12" t="s">
        <v>49</v>
      </c>
      <c r="I51" s="12" t="s">
        <v>50</v>
      </c>
      <c r="K51" s="12" t="s">
        <v>52</v>
      </c>
      <c r="L51" s="12" t="s">
        <v>47</v>
      </c>
      <c r="M51" s="12" t="s">
        <v>48</v>
      </c>
      <c r="O51" s="12" t="s">
        <v>72</v>
      </c>
      <c r="P51" s="12" t="s">
        <v>71</v>
      </c>
      <c r="R51" s="12" t="s">
        <v>73</v>
      </c>
      <c r="S51" s="13">
        <f xml:space="preserve"> COUNTIF(P52:P69, "Roy")</f>
        <v>6</v>
      </c>
      <c r="U51" s="12" t="s">
        <v>78</v>
      </c>
      <c r="X51" s="12" t="s">
        <v>80</v>
      </c>
      <c r="Y51" t="str">
        <f>INDEX(U52:U69, MATCH(MAX(V52:V69), V52:V69, 0))</f>
        <v>Hole 4</v>
      </c>
    </row>
    <row r="52" spans="3:25" x14ac:dyDescent="0.2">
      <c r="C52" s="12">
        <v>1</v>
      </c>
      <c r="D52">
        <v>4</v>
      </c>
      <c r="E52">
        <v>5</v>
      </c>
      <c r="F52" s="13">
        <v>4</v>
      </c>
      <c r="H52" s="12" t="s">
        <v>47</v>
      </c>
      <c r="I52">
        <f>SUM(D52:D69)</f>
        <v>76</v>
      </c>
      <c r="K52" s="12" t="s">
        <v>53</v>
      </c>
      <c r="L52" t="str">
        <f>IF(D52&gt;F52, "Over", IF(D52=F52, "Par", "Under"))</f>
        <v>Par</v>
      </c>
      <c r="M52" t="str">
        <f xml:space="preserve"> IF(E52&gt;F52, "Over", IF(E52=F52, "Par", "Under"))</f>
        <v>Over</v>
      </c>
      <c r="O52" s="12" t="s">
        <v>53</v>
      </c>
      <c r="P52" t="str">
        <f>IF(D52&gt;E52, "Gary", IF(D52=E52, "Tie", "Roy"))</f>
        <v>Roy</v>
      </c>
      <c r="R52" s="12" t="s">
        <v>74</v>
      </c>
      <c r="S52" s="13">
        <f>COUNTIF(P52:P69, "Gary")</f>
        <v>5</v>
      </c>
      <c r="U52" t="s">
        <v>53</v>
      </c>
      <c r="V52">
        <f>AVERAGE(D52:E52)-F52</f>
        <v>0.5</v>
      </c>
      <c r="X52" s="12" t="s">
        <v>81</v>
      </c>
      <c r="Y52" t="str" cm="1">
        <f t="array" ref="Y52">_xlfn.TEXTJOIN(", ",TRUE,_xlfn._xlws.FILTER(U52:U69,V52:V69=MIN(V52:V69)))</f>
        <v>Hole 7, Hole 11, Hole 14</v>
      </c>
    </row>
    <row r="53" spans="3:25" x14ac:dyDescent="0.2">
      <c r="C53" s="12">
        <v>2</v>
      </c>
      <c r="D53">
        <v>4</v>
      </c>
      <c r="E53">
        <v>4</v>
      </c>
      <c r="F53" s="13">
        <v>3</v>
      </c>
      <c r="H53" s="12" t="s">
        <v>48</v>
      </c>
      <c r="I53">
        <f>SUM(E52:E69)</f>
        <v>78</v>
      </c>
      <c r="K53" s="12" t="s">
        <v>54</v>
      </c>
      <c r="L53" t="str">
        <f t="shared" ref="L53:L69" si="7">IF(D53&gt;F53, "Over", IF(D53=F53, "Par", "Under"))</f>
        <v>Over</v>
      </c>
      <c r="M53" t="str">
        <f t="shared" ref="M53:M69" si="8" xml:space="preserve"> IF(E53&gt;F53, "Over", IF(E53=F53, "Par", "Under"))</f>
        <v>Over</v>
      </c>
      <c r="O53" s="12" t="s">
        <v>54</v>
      </c>
      <c r="P53" t="str">
        <f t="shared" ref="P53:P69" si="9">IF(D53&gt;E53, "Gary", IF(D53=E53, "Tie", "Roy"))</f>
        <v>Tie</v>
      </c>
      <c r="R53" s="12" t="s">
        <v>75</v>
      </c>
      <c r="S53" s="13">
        <f>COUNTIF(P52:P69, "Tie")</f>
        <v>7</v>
      </c>
      <c r="U53" t="s">
        <v>79</v>
      </c>
      <c r="V53">
        <f t="shared" ref="V53:V69" si="10">AVERAGE(D53:E53)-F53</f>
        <v>1</v>
      </c>
    </row>
    <row r="54" spans="3:25" x14ac:dyDescent="0.2">
      <c r="C54" s="12">
        <v>3</v>
      </c>
      <c r="D54">
        <v>5</v>
      </c>
      <c r="E54">
        <v>4</v>
      </c>
      <c r="F54" s="13">
        <v>4</v>
      </c>
      <c r="K54" s="12" t="s">
        <v>55</v>
      </c>
      <c r="L54" t="str">
        <f t="shared" si="7"/>
        <v>Over</v>
      </c>
      <c r="M54" t="str">
        <f t="shared" si="8"/>
        <v>Par</v>
      </c>
      <c r="O54" s="12" t="s">
        <v>55</v>
      </c>
      <c r="P54" t="str">
        <f>IF(D54&gt;E54, "Gary", IF(D54=E54, "Tie", "Roy"))</f>
        <v>Gary</v>
      </c>
      <c r="U54" t="s">
        <v>55</v>
      </c>
      <c r="V54">
        <f t="shared" si="10"/>
        <v>0.5</v>
      </c>
    </row>
    <row r="55" spans="3:25" x14ac:dyDescent="0.2">
      <c r="C55" s="12">
        <v>4</v>
      </c>
      <c r="D55">
        <v>4</v>
      </c>
      <c r="E55">
        <v>5</v>
      </c>
      <c r="F55" s="13">
        <v>3</v>
      </c>
      <c r="I55" s="12" t="s">
        <v>51</v>
      </c>
      <c r="K55" s="12" t="s">
        <v>56</v>
      </c>
      <c r="L55" t="str">
        <f t="shared" si="7"/>
        <v>Over</v>
      </c>
      <c r="M55" t="str">
        <f t="shared" si="8"/>
        <v>Over</v>
      </c>
      <c r="O55" s="12" t="s">
        <v>56</v>
      </c>
      <c r="P55" t="str">
        <f t="shared" si="9"/>
        <v>Roy</v>
      </c>
      <c r="U55" t="s">
        <v>56</v>
      </c>
      <c r="V55">
        <f t="shared" si="10"/>
        <v>1.5</v>
      </c>
    </row>
    <row r="56" spans="3:25" x14ac:dyDescent="0.2">
      <c r="C56" s="12">
        <v>5</v>
      </c>
      <c r="D56">
        <v>5</v>
      </c>
      <c r="E56">
        <v>6</v>
      </c>
      <c r="F56" s="13">
        <v>5</v>
      </c>
      <c r="H56" s="12" t="s">
        <v>47</v>
      </c>
      <c r="I56">
        <f>ROUND(AVERAGE(D52:D69), 2)</f>
        <v>4.22</v>
      </c>
      <c r="K56" s="12" t="s">
        <v>57</v>
      </c>
      <c r="L56" t="str">
        <f t="shared" si="7"/>
        <v>Par</v>
      </c>
      <c r="M56" t="str">
        <f t="shared" si="8"/>
        <v>Over</v>
      </c>
      <c r="O56" s="12" t="s">
        <v>57</v>
      </c>
      <c r="P56" t="str">
        <f t="shared" si="9"/>
        <v>Roy</v>
      </c>
      <c r="U56" t="s">
        <v>57</v>
      </c>
      <c r="V56">
        <f t="shared" si="10"/>
        <v>0.5</v>
      </c>
    </row>
    <row r="57" spans="3:25" x14ac:dyDescent="0.2">
      <c r="C57" s="12">
        <v>6</v>
      </c>
      <c r="D57">
        <v>5</v>
      </c>
      <c r="E57">
        <v>4</v>
      </c>
      <c r="F57" s="13">
        <v>4</v>
      </c>
      <c r="H57" s="12" t="s">
        <v>48</v>
      </c>
      <c r="I57">
        <f>ROUND(AVERAGE(E52:E69), 2)</f>
        <v>4.33</v>
      </c>
      <c r="K57" s="12" t="s">
        <v>58</v>
      </c>
      <c r="L57" t="str">
        <f t="shared" si="7"/>
        <v>Over</v>
      </c>
      <c r="M57" t="str">
        <f t="shared" si="8"/>
        <v>Par</v>
      </c>
      <c r="O57" s="12" t="s">
        <v>58</v>
      </c>
      <c r="P57" t="str">
        <f t="shared" si="9"/>
        <v>Gary</v>
      </c>
      <c r="U57" t="s">
        <v>58</v>
      </c>
      <c r="V57">
        <f t="shared" si="10"/>
        <v>0.5</v>
      </c>
    </row>
    <row r="58" spans="3:25" x14ac:dyDescent="0.2">
      <c r="C58" s="12">
        <v>7</v>
      </c>
      <c r="D58">
        <v>5</v>
      </c>
      <c r="E58">
        <v>4</v>
      </c>
      <c r="F58" s="13">
        <v>5</v>
      </c>
      <c r="K58" s="12" t="s">
        <v>59</v>
      </c>
      <c r="L58" t="str">
        <f t="shared" si="7"/>
        <v>Par</v>
      </c>
      <c r="M58" t="str">
        <f t="shared" si="8"/>
        <v>Under</v>
      </c>
      <c r="O58" s="12" t="s">
        <v>59</v>
      </c>
      <c r="P58" t="str">
        <f t="shared" si="9"/>
        <v>Gary</v>
      </c>
      <c r="U58" t="s">
        <v>59</v>
      </c>
      <c r="V58">
        <f t="shared" si="10"/>
        <v>-0.5</v>
      </c>
    </row>
    <row r="59" spans="3:25" x14ac:dyDescent="0.2">
      <c r="C59" s="12">
        <v>8</v>
      </c>
      <c r="D59">
        <v>4</v>
      </c>
      <c r="E59">
        <v>4</v>
      </c>
      <c r="F59" s="13">
        <v>3</v>
      </c>
      <c r="K59" s="12" t="s">
        <v>60</v>
      </c>
      <c r="L59" t="str">
        <f t="shared" si="7"/>
        <v>Over</v>
      </c>
      <c r="M59" t="str">
        <f t="shared" si="8"/>
        <v>Over</v>
      </c>
      <c r="O59" s="12" t="s">
        <v>60</v>
      </c>
      <c r="P59" t="str">
        <f t="shared" si="9"/>
        <v>Tie</v>
      </c>
      <c r="U59" t="s">
        <v>60</v>
      </c>
      <c r="V59">
        <f t="shared" si="10"/>
        <v>1</v>
      </c>
    </row>
    <row r="60" spans="3:25" x14ac:dyDescent="0.2">
      <c r="C60" s="12">
        <v>9</v>
      </c>
      <c r="D60">
        <v>3</v>
      </c>
      <c r="E60">
        <v>3</v>
      </c>
      <c r="F60" s="13">
        <v>3</v>
      </c>
      <c r="K60" s="12" t="s">
        <v>61</v>
      </c>
      <c r="L60" t="str">
        <f t="shared" si="7"/>
        <v>Par</v>
      </c>
      <c r="M60" t="str">
        <f t="shared" si="8"/>
        <v>Par</v>
      </c>
      <c r="O60" s="12" t="s">
        <v>61</v>
      </c>
      <c r="P60" t="str">
        <f t="shared" si="9"/>
        <v>Tie</v>
      </c>
      <c r="U60" t="s">
        <v>61</v>
      </c>
      <c r="V60">
        <f t="shared" si="10"/>
        <v>0</v>
      </c>
    </row>
    <row r="61" spans="3:25" x14ac:dyDescent="0.2">
      <c r="C61" s="12">
        <v>10</v>
      </c>
      <c r="D61">
        <v>5</v>
      </c>
      <c r="E61">
        <v>4</v>
      </c>
      <c r="F61" s="13">
        <v>4</v>
      </c>
      <c r="K61" s="12" t="s">
        <v>62</v>
      </c>
      <c r="L61" t="str">
        <f t="shared" si="7"/>
        <v>Over</v>
      </c>
      <c r="M61" t="str">
        <f t="shared" si="8"/>
        <v>Par</v>
      </c>
      <c r="O61" s="12" t="s">
        <v>62</v>
      </c>
      <c r="P61" t="str">
        <f t="shared" si="9"/>
        <v>Gary</v>
      </c>
      <c r="U61" t="s">
        <v>62</v>
      </c>
      <c r="V61">
        <f t="shared" si="10"/>
        <v>0.5</v>
      </c>
    </row>
    <row r="62" spans="3:25" x14ac:dyDescent="0.2">
      <c r="C62" s="12">
        <v>11</v>
      </c>
      <c r="D62">
        <v>4</v>
      </c>
      <c r="E62">
        <v>3</v>
      </c>
      <c r="F62" s="13">
        <v>4</v>
      </c>
      <c r="K62" s="12" t="s">
        <v>63</v>
      </c>
      <c r="L62" t="str">
        <f t="shared" si="7"/>
        <v>Par</v>
      </c>
      <c r="M62" t="str">
        <f t="shared" si="8"/>
        <v>Under</v>
      </c>
      <c r="O62" s="12" t="s">
        <v>63</v>
      </c>
      <c r="P62" t="str">
        <f t="shared" si="9"/>
        <v>Gary</v>
      </c>
      <c r="U62" t="s">
        <v>63</v>
      </c>
      <c r="V62">
        <f t="shared" si="10"/>
        <v>-0.5</v>
      </c>
    </row>
    <row r="63" spans="3:25" x14ac:dyDescent="0.2">
      <c r="C63" s="12">
        <v>12</v>
      </c>
      <c r="D63">
        <v>4</v>
      </c>
      <c r="E63">
        <v>4</v>
      </c>
      <c r="F63" s="13">
        <v>3</v>
      </c>
      <c r="K63" s="12" t="s">
        <v>64</v>
      </c>
      <c r="L63" t="str">
        <f t="shared" si="7"/>
        <v>Over</v>
      </c>
      <c r="M63" t="str">
        <f t="shared" si="8"/>
        <v>Over</v>
      </c>
      <c r="O63" s="12" t="s">
        <v>64</v>
      </c>
      <c r="P63" t="str">
        <f t="shared" si="9"/>
        <v>Tie</v>
      </c>
      <c r="U63" t="s">
        <v>64</v>
      </c>
      <c r="V63">
        <f t="shared" si="10"/>
        <v>1</v>
      </c>
    </row>
    <row r="64" spans="3:25" x14ac:dyDescent="0.2">
      <c r="C64" s="12">
        <v>13</v>
      </c>
      <c r="D64">
        <v>4</v>
      </c>
      <c r="E64">
        <v>4</v>
      </c>
      <c r="F64" s="13">
        <v>3</v>
      </c>
      <c r="K64" s="12" t="s">
        <v>65</v>
      </c>
      <c r="L64" t="str">
        <f t="shared" si="7"/>
        <v>Over</v>
      </c>
      <c r="M64" t="str">
        <f t="shared" si="8"/>
        <v>Over</v>
      </c>
      <c r="O64" s="12" t="s">
        <v>65</v>
      </c>
      <c r="P64" t="str">
        <f t="shared" si="9"/>
        <v>Tie</v>
      </c>
      <c r="U64" t="s">
        <v>65</v>
      </c>
      <c r="V64">
        <f t="shared" si="10"/>
        <v>1</v>
      </c>
    </row>
    <row r="65" spans="3:22" x14ac:dyDescent="0.2">
      <c r="C65" s="12">
        <v>14</v>
      </c>
      <c r="D65">
        <v>4</v>
      </c>
      <c r="E65">
        <v>5</v>
      </c>
      <c r="F65" s="13">
        <v>5</v>
      </c>
      <c r="K65" s="12" t="s">
        <v>66</v>
      </c>
      <c r="L65" t="str">
        <f t="shared" si="7"/>
        <v>Under</v>
      </c>
      <c r="M65" t="str">
        <f t="shared" si="8"/>
        <v>Par</v>
      </c>
      <c r="O65" s="12" t="s">
        <v>66</v>
      </c>
      <c r="P65" t="str">
        <f t="shared" si="9"/>
        <v>Roy</v>
      </c>
      <c r="U65" t="s">
        <v>66</v>
      </c>
      <c r="V65">
        <f t="shared" si="10"/>
        <v>-0.5</v>
      </c>
    </row>
    <row r="66" spans="3:22" x14ac:dyDescent="0.2">
      <c r="C66" s="12">
        <v>15</v>
      </c>
      <c r="D66">
        <v>3</v>
      </c>
      <c r="E66">
        <v>4</v>
      </c>
      <c r="F66" s="13">
        <v>3</v>
      </c>
      <c r="K66" s="12" t="s">
        <v>67</v>
      </c>
      <c r="L66" t="str">
        <f t="shared" si="7"/>
        <v>Par</v>
      </c>
      <c r="M66" t="str">
        <f t="shared" si="8"/>
        <v>Over</v>
      </c>
      <c r="O66" s="12" t="s">
        <v>67</v>
      </c>
      <c r="P66" t="str">
        <f t="shared" si="9"/>
        <v>Roy</v>
      </c>
      <c r="U66" t="s">
        <v>67</v>
      </c>
      <c r="V66">
        <f t="shared" si="10"/>
        <v>0.5</v>
      </c>
    </row>
    <row r="67" spans="3:22" x14ac:dyDescent="0.2">
      <c r="C67" s="12">
        <v>16</v>
      </c>
      <c r="D67">
        <v>5</v>
      </c>
      <c r="E67">
        <v>5</v>
      </c>
      <c r="F67" s="13">
        <v>4</v>
      </c>
      <c r="K67" s="12" t="s">
        <v>68</v>
      </c>
      <c r="L67" t="str">
        <f t="shared" si="7"/>
        <v>Over</v>
      </c>
      <c r="M67" t="str">
        <f t="shared" si="8"/>
        <v>Over</v>
      </c>
      <c r="O67" s="12" t="s">
        <v>68</v>
      </c>
      <c r="P67" t="str">
        <f t="shared" si="9"/>
        <v>Tie</v>
      </c>
      <c r="U67" t="s">
        <v>68</v>
      </c>
      <c r="V67">
        <f t="shared" si="10"/>
        <v>1</v>
      </c>
    </row>
    <row r="68" spans="3:22" x14ac:dyDescent="0.2">
      <c r="C68" s="12">
        <v>17</v>
      </c>
      <c r="D68">
        <v>4</v>
      </c>
      <c r="E68">
        <v>4</v>
      </c>
      <c r="F68" s="13">
        <v>4</v>
      </c>
      <c r="K68" s="12" t="s">
        <v>69</v>
      </c>
      <c r="L68" t="str">
        <f t="shared" si="7"/>
        <v>Par</v>
      </c>
      <c r="M68" t="str">
        <f t="shared" si="8"/>
        <v>Par</v>
      </c>
      <c r="O68" s="12" t="s">
        <v>69</v>
      </c>
      <c r="P68" t="str">
        <f t="shared" si="9"/>
        <v>Tie</v>
      </c>
      <c r="U68" t="s">
        <v>69</v>
      </c>
      <c r="V68">
        <f t="shared" si="10"/>
        <v>0</v>
      </c>
    </row>
    <row r="69" spans="3:22" x14ac:dyDescent="0.2">
      <c r="C69" s="12">
        <v>18</v>
      </c>
      <c r="D69">
        <v>4</v>
      </c>
      <c r="E69">
        <v>6</v>
      </c>
      <c r="F69" s="13">
        <v>5</v>
      </c>
      <c r="K69" s="12" t="s">
        <v>70</v>
      </c>
      <c r="L69" t="str">
        <f t="shared" si="7"/>
        <v>Under</v>
      </c>
      <c r="M69" t="str">
        <f t="shared" si="8"/>
        <v>Over</v>
      </c>
      <c r="O69" s="12" t="s">
        <v>70</v>
      </c>
      <c r="P69" t="str">
        <f t="shared" si="9"/>
        <v>Roy</v>
      </c>
      <c r="U69" t="s">
        <v>70</v>
      </c>
      <c r="V69">
        <f t="shared" si="10"/>
        <v>0</v>
      </c>
    </row>
    <row r="71" spans="3:22" x14ac:dyDescent="0.2">
      <c r="C71" s="12" t="s">
        <v>82</v>
      </c>
      <c r="D71" s="12" t="s">
        <v>47</v>
      </c>
      <c r="E71" s="12" t="s">
        <v>48</v>
      </c>
      <c r="F71" s="12" t="s">
        <v>83</v>
      </c>
    </row>
    <row r="72" spans="3:22" x14ac:dyDescent="0.2">
      <c r="C72" s="12" t="s">
        <v>53</v>
      </c>
      <c r="D72">
        <f xml:space="preserve"> SUM($D$52:D52)</f>
        <v>4</v>
      </c>
      <c r="E72">
        <f xml:space="preserve"> SUM($E$52:E52)</f>
        <v>5</v>
      </c>
      <c r="F72" t="str">
        <f>IF(SUM($D$52:D52)&lt;SUM($E$52:E52), "Roy", IF(SUM($D$52:D52)=SUM($E$52:E52), "Tie", "Gary"))</f>
        <v>Roy</v>
      </c>
      <c r="K72" s="12" t="s">
        <v>76</v>
      </c>
      <c r="L72">
        <f>COUNTIF(L52:L69, "Under")+ COUNTIF(L52:L69, "Par")</f>
        <v>9</v>
      </c>
      <c r="M72">
        <f>COUNTIF(M52:M69, "Under")+COUNTIF(M52:M69, "Par")</f>
        <v>8</v>
      </c>
    </row>
    <row r="73" spans="3:22" x14ac:dyDescent="0.2">
      <c r="C73" s="12" t="s">
        <v>54</v>
      </c>
      <c r="D73">
        <f xml:space="preserve"> SUM($D$52:D53)</f>
        <v>8</v>
      </c>
      <c r="E73">
        <f xml:space="preserve"> SUM($E$52:E53)</f>
        <v>9</v>
      </c>
      <c r="F73" t="str">
        <f>IF(SUM($D$52:D53)&lt;SUM($E$52:E53), "Roy", IF(SUM($D$52:D53)=SUM($E$52:E53), "Tie", "Gary"))</f>
        <v>Roy</v>
      </c>
      <c r="K73" s="12" t="s">
        <v>77</v>
      </c>
      <c r="L73">
        <f>COUNTIF(L52:L69, "Over")</f>
        <v>9</v>
      </c>
      <c r="M73">
        <f>COUNTIF(M52:M69, "Over")</f>
        <v>10</v>
      </c>
    </row>
    <row r="74" spans="3:22" x14ac:dyDescent="0.2">
      <c r="C74" s="12" t="s">
        <v>55</v>
      </c>
      <c r="D74">
        <f xml:space="preserve"> SUM($D$52:D54)</f>
        <v>13</v>
      </c>
      <c r="E74">
        <f xml:space="preserve"> SUM($E$52:E54)</f>
        <v>13</v>
      </c>
      <c r="F74" t="str">
        <f>IF(SUM($D$52:D54)&lt;SUM($E$52:E54), "Roy", IF(SUM($D$52:D54)=SUM($E$52:E54), "Tie", "Gary"))</f>
        <v>Tie</v>
      </c>
    </row>
    <row r="75" spans="3:22" x14ac:dyDescent="0.2">
      <c r="C75" s="12" t="s">
        <v>56</v>
      </c>
      <c r="D75">
        <f xml:space="preserve"> SUM($D$52:D55)</f>
        <v>17</v>
      </c>
      <c r="E75">
        <f xml:space="preserve"> SUM($E$52:E55)</f>
        <v>18</v>
      </c>
      <c r="F75" t="str">
        <f>IF(SUM($D$52:D55)&lt;SUM($E$52:E55), "Roy", IF(SUM($D$52:D55)=SUM($E$52:E55), "Tie", "Gary"))</f>
        <v>Roy</v>
      </c>
    </row>
    <row r="76" spans="3:22" x14ac:dyDescent="0.2">
      <c r="C76" s="12" t="s">
        <v>57</v>
      </c>
      <c r="D76">
        <f xml:space="preserve"> SUM($D$52:D56)</f>
        <v>22</v>
      </c>
      <c r="E76">
        <f xml:space="preserve"> SUM($E$52:E56)</f>
        <v>24</v>
      </c>
      <c r="F76" t="str">
        <f>IF(SUM($D$52:D56)&lt;SUM($E$52:E56), "Roy", IF(SUM($D$52:D56)=SUM($E$52:E56), "Tie", "Gary"))</f>
        <v>Roy</v>
      </c>
    </row>
    <row r="77" spans="3:22" x14ac:dyDescent="0.2">
      <c r="C77" s="12" t="s">
        <v>58</v>
      </c>
      <c r="D77">
        <f xml:space="preserve"> SUM($D$52:D57)</f>
        <v>27</v>
      </c>
      <c r="E77">
        <f xml:space="preserve"> SUM($E$52:E57)</f>
        <v>28</v>
      </c>
      <c r="F77" t="str">
        <f>IF(SUM($D$52:D57)&lt;SUM($E$52:E57), "Roy", IF(SUM($D$52:D57)=SUM($E$52:E57), "Tie", "Gary"))</f>
        <v>Roy</v>
      </c>
    </row>
    <row r="78" spans="3:22" x14ac:dyDescent="0.2">
      <c r="C78" s="12" t="s">
        <v>59</v>
      </c>
      <c r="D78">
        <f xml:space="preserve"> SUM($D$52:D58)</f>
        <v>32</v>
      </c>
      <c r="E78">
        <f xml:space="preserve"> SUM($E$52:E58)</f>
        <v>32</v>
      </c>
      <c r="F78" t="str">
        <f>IF(SUM($D$52:D58)&lt;SUM($E$52:E58), "Roy", IF(SUM($D$52:D58)=SUM($E$52:E58), "Tie", "Gary"))</f>
        <v>Tie</v>
      </c>
    </row>
    <row r="79" spans="3:22" x14ac:dyDescent="0.2">
      <c r="C79" s="12" t="s">
        <v>60</v>
      </c>
      <c r="D79">
        <f xml:space="preserve"> SUM($D$52:D59)</f>
        <v>36</v>
      </c>
      <c r="E79">
        <f xml:space="preserve"> SUM($E$52:E59)</f>
        <v>36</v>
      </c>
      <c r="F79" t="str">
        <f>IF(SUM($D$52:D59)&lt;SUM($E$52:E59), "Roy", IF(SUM($D$52:D59)=SUM($E$52:E59), "Tie", "Gary"))</f>
        <v>Tie</v>
      </c>
    </row>
    <row r="80" spans="3:22" x14ac:dyDescent="0.2">
      <c r="C80" s="12" t="s">
        <v>61</v>
      </c>
      <c r="D80">
        <f xml:space="preserve"> SUM($D$52:D60)</f>
        <v>39</v>
      </c>
      <c r="E80">
        <f xml:space="preserve"> SUM($E$52:E60)</f>
        <v>39</v>
      </c>
      <c r="F80" t="str">
        <f>IF(SUM($D$52:D60)&lt;SUM($E$52:E60), "Roy", IF(SUM($D$52:D60)=SUM($E$52:E60), "Tie", "Gary"))</f>
        <v>Tie</v>
      </c>
    </row>
    <row r="81" spans="3:6" x14ac:dyDescent="0.2">
      <c r="C81" s="12" t="s">
        <v>62</v>
      </c>
      <c r="D81">
        <f xml:space="preserve"> SUM($D$52:D61)</f>
        <v>44</v>
      </c>
      <c r="E81">
        <f xml:space="preserve"> SUM($E$52:E61)</f>
        <v>43</v>
      </c>
      <c r="F81" t="str">
        <f>IF(SUM($D$52:D61)&lt;SUM($E$52:E61), "Roy", IF(SUM($D$52:D61)=SUM($E$52:E61), "Tie", "Gary"))</f>
        <v>Gary</v>
      </c>
    </row>
    <row r="82" spans="3:6" x14ac:dyDescent="0.2">
      <c r="C82" s="12" t="s">
        <v>63</v>
      </c>
      <c r="D82">
        <f xml:space="preserve"> SUM($D$52:D62)</f>
        <v>48</v>
      </c>
      <c r="E82">
        <f xml:space="preserve"> SUM($E$52:E62)</f>
        <v>46</v>
      </c>
      <c r="F82" t="str">
        <f>IF(SUM($D$52:D62)&lt;SUM($E$52:E62), "Roy", IF(SUM($D$52:D62)=SUM($E$52:E62), "Tie", "Gary"))</f>
        <v>Gary</v>
      </c>
    </row>
    <row r="83" spans="3:6" x14ac:dyDescent="0.2">
      <c r="C83" s="12" t="s">
        <v>64</v>
      </c>
      <c r="D83">
        <f xml:space="preserve"> SUM($D$52:D63)</f>
        <v>52</v>
      </c>
      <c r="E83">
        <f xml:space="preserve"> SUM($E$52:E63)</f>
        <v>50</v>
      </c>
      <c r="F83" t="str">
        <f>IF(SUM($D$52:D63)&lt;SUM($E$52:E63), "Roy", IF(SUM($D$52:D63)=SUM($E$52:E63), "Tie", "Gary"))</f>
        <v>Gary</v>
      </c>
    </row>
    <row r="84" spans="3:6" x14ac:dyDescent="0.2">
      <c r="C84" s="12" t="s">
        <v>65</v>
      </c>
      <c r="D84">
        <f xml:space="preserve"> SUM($D$52:D64)</f>
        <v>56</v>
      </c>
      <c r="E84">
        <f xml:space="preserve"> SUM($E$52:E64)</f>
        <v>54</v>
      </c>
      <c r="F84" t="str">
        <f>IF(SUM($D$52:D64)&lt;SUM($E$52:E64), "Roy", IF(SUM($D$52:D64)=SUM($E$52:E64), "Tie", "Gary"))</f>
        <v>Gary</v>
      </c>
    </row>
    <row r="85" spans="3:6" x14ac:dyDescent="0.2">
      <c r="C85" s="12" t="s">
        <v>66</v>
      </c>
      <c r="D85">
        <f xml:space="preserve"> SUM($D$52:D65)</f>
        <v>60</v>
      </c>
      <c r="E85">
        <f xml:space="preserve"> SUM($E$52:E65)</f>
        <v>59</v>
      </c>
      <c r="F85" t="str">
        <f>IF(SUM($D$52:D65)&lt;SUM($E$52:E65), "Roy", IF(SUM($D$52:D65)=SUM($E$52:E65), "Tie", "Gary"))</f>
        <v>Gary</v>
      </c>
    </row>
    <row r="86" spans="3:6" x14ac:dyDescent="0.2">
      <c r="C86" s="12" t="s">
        <v>67</v>
      </c>
      <c r="D86">
        <f xml:space="preserve"> SUM($D$52:D66)</f>
        <v>63</v>
      </c>
      <c r="E86">
        <f xml:space="preserve"> SUM($E$52:E66)</f>
        <v>63</v>
      </c>
      <c r="F86" t="str">
        <f>IF(SUM($D$52:D66)&lt;SUM($E$52:E66), "Roy", IF(SUM($D$52:D66)=SUM($E$52:E66), "Tie", "Gary"))</f>
        <v>Tie</v>
      </c>
    </row>
    <row r="87" spans="3:6" x14ac:dyDescent="0.2">
      <c r="C87" s="12" t="s">
        <v>68</v>
      </c>
      <c r="D87">
        <f xml:space="preserve"> SUM($D$52:D67)</f>
        <v>68</v>
      </c>
      <c r="E87">
        <f xml:space="preserve"> SUM($E$52:E67)</f>
        <v>68</v>
      </c>
      <c r="F87" t="str">
        <f>IF(SUM($D$52:D67)&lt;SUM($E$52:E67), "Roy", IF(SUM($D$52:D67)=SUM($E$52:E67), "Tie", "Gary"))</f>
        <v>Tie</v>
      </c>
    </row>
    <row r="88" spans="3:6" x14ac:dyDescent="0.2">
      <c r="C88" s="12" t="s">
        <v>69</v>
      </c>
      <c r="D88">
        <f xml:space="preserve"> SUM($D$52:D68)</f>
        <v>72</v>
      </c>
      <c r="E88">
        <f xml:space="preserve"> SUM($E$52:E68)</f>
        <v>72</v>
      </c>
      <c r="F88" t="str">
        <f>IF(SUM($D$52:D68)&lt;SUM($E$52:E68), "Roy", IF(SUM($D$52:D68)=SUM($E$52:E68), "Tie", "Gary"))</f>
        <v>Tie</v>
      </c>
    </row>
    <row r="89" spans="3:6" x14ac:dyDescent="0.2">
      <c r="C89" s="12" t="s">
        <v>70</v>
      </c>
      <c r="D89">
        <f xml:space="preserve"> SUM($D$52:D69)</f>
        <v>76</v>
      </c>
      <c r="E89">
        <f xml:space="preserve"> SUM($E$52:E69)</f>
        <v>78</v>
      </c>
      <c r="F89" t="str">
        <f>IF(SUM($D$52:D69)&lt;SUM($E$52:E69), "Roy", IF(SUM($D$52:D69)=SUM($E$52:E69), "Tie", "Gary"))</f>
        <v>Roy</v>
      </c>
    </row>
  </sheetData>
  <phoneticPr fontId="1" type="noConversion"/>
  <conditionalFormatting sqref="F41:F46">
    <cfRule type="containsText" dxfId="5" priority="1" operator="containsText" text="Fail">
      <formula>NOT(ISERROR(SEARCH("Fail",F41)))</formula>
    </cfRule>
    <cfRule type="containsText" dxfId="4" priority="2" operator="containsText" text="Pass">
      <formula>NOT(ISERROR(SEARCH("Pass",F41)))</formula>
    </cfRule>
    <cfRule type="cellIs" dxfId="3" priority="5" operator="lessThan">
      <formula>50</formula>
    </cfRule>
    <cfRule type="cellIs" dxfId="2" priority="6" operator="greaterThan">
      <formula>50</formula>
    </cfRule>
  </conditionalFormatting>
  <conditionalFormatting sqref="F42">
    <cfRule type="containsText" dxfId="1" priority="3" operator="containsText" text="Fail">
      <formula>NOT(ISERROR(SEARCH("Fail",F42)))</formula>
    </cfRule>
    <cfRule type="containsText" dxfId="0" priority="4" operator="containsText" text="True">
      <formula>NOT(ISERROR(SEARCH("True",F42)))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and Golf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EVANS, OLIVER</cp:lastModifiedBy>
  <cp:lastPrinted>2024-11-08T20:41:15Z</cp:lastPrinted>
  <dcterms:created xsi:type="dcterms:W3CDTF">2015-06-05T18:17:20Z</dcterms:created>
  <dcterms:modified xsi:type="dcterms:W3CDTF">2026-09-27T22:37:30Z</dcterms:modified>
</cp:coreProperties>
</file>